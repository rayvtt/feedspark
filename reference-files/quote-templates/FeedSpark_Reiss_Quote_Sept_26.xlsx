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ownloads\"/>
    </mc:Choice>
  </mc:AlternateContent>
  <xr:revisionPtr revIDLastSave="0" documentId="13_ncr:1_{8FD67606-D6D4-4D82-9B62-2FEA7E9D63B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iss - Cost Detail" sheetId="19" r:id="rId1"/>
  </sheets>
  <definedNames>
    <definedName name="Dayrate" localSheetId="0">'Reiss - Cost Detail'!$E$22</definedName>
    <definedName name="Dayrate">#REF!</definedName>
    <definedName name="USD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9" l="1"/>
  <c r="M33" i="19"/>
  <c r="I59" i="19"/>
  <c r="I58" i="19"/>
  <c r="I57" i="19"/>
  <c r="F41" i="19"/>
  <c r="E33" i="19"/>
  <c r="F33" i="19" s="1"/>
  <c r="K33" i="19" s="1"/>
  <c r="K35" i="19" s="1"/>
  <c r="H24" i="19"/>
  <c r="E24" i="19"/>
  <c r="F22" i="19"/>
  <c r="F17" i="19"/>
  <c r="I17" i="19" s="1"/>
  <c r="F16" i="19"/>
  <c r="M7" i="19"/>
  <c r="I22" i="19" l="1"/>
  <c r="K22" i="19" s="1"/>
  <c r="F24" i="19"/>
  <c r="I41" i="19"/>
  <c r="K41" i="19" s="1"/>
  <c r="K43" i="19" s="1"/>
  <c r="K17" i="19"/>
  <c r="I16" i="19"/>
  <c r="I19" i="19" s="1"/>
  <c r="K16" i="19" l="1"/>
  <c r="K19" i="19" s="1"/>
  <c r="I24" i="19"/>
  <c r="K24" i="19" s="1"/>
  <c r="K26" i="19" l="1"/>
</calcChain>
</file>

<file path=xl/sharedStrings.xml><?xml version="1.0" encoding="utf-8"?>
<sst xmlns="http://schemas.openxmlformats.org/spreadsheetml/2006/main" count="76" uniqueCount="54">
  <si>
    <t>Client</t>
  </si>
  <si>
    <t>Agency</t>
  </si>
  <si>
    <t>Total Cost</t>
  </si>
  <si>
    <t>Discount %
(Exc Man Power)</t>
  </si>
  <si>
    <t>Discount £
(Exc Man Power)</t>
  </si>
  <si>
    <t>Net
Cost</t>
  </si>
  <si>
    <t>Notes on the Quotation</t>
  </si>
  <si>
    <t>Contact</t>
  </si>
  <si>
    <t>- The prices and discounts shown are based on the quotation being accepted on a total basis. Should any changes be required to  the level or number of services required then this may impact the prices &amp; discounts shown</t>
  </si>
  <si>
    <t>-</t>
  </si>
  <si>
    <t>Cost</t>
  </si>
  <si>
    <t>Quantity</t>
  </si>
  <si>
    <t>URL</t>
  </si>
  <si>
    <t>Client Contact</t>
  </si>
  <si>
    <t>- E&amp;O Excluded</t>
  </si>
  <si>
    <t>- Is based on the the validity &amp; accuracy of the information provided &amp; is assumed to be reflective of the services required</t>
  </si>
  <si>
    <t>- It is indicative of a 'standard' deployment and more complex deployments, bespoke work or work oustide scope may be subject to additional charges</t>
  </si>
  <si>
    <t xml:space="preserve"> </t>
  </si>
  <si>
    <t>Core Set-Up &amp; Initial Optimisation</t>
  </si>
  <si>
    <t>ONE-OFF COSTS: SET-UP &amp; CONFIGURATION</t>
  </si>
  <si>
    <t>MONTHLY RECURRING COSTS</t>
  </si>
  <si>
    <t>Cost Per Market</t>
  </si>
  <si>
    <t>Account Management &amp; Data Optimisation - ManPower (Days / Month)</t>
  </si>
  <si>
    <t>System / Platform Costs</t>
  </si>
  <si>
    <t>Total System Costs</t>
  </si>
  <si>
    <t>Total Monthly Cost</t>
  </si>
  <si>
    <t>Additional Notes</t>
  </si>
  <si>
    <t>Total Tech Costs</t>
  </si>
  <si>
    <t/>
  </si>
  <si>
    <t>Initial Issue Fix /Data Optimisation /  Performance Booster (Feed Audit based)</t>
  </si>
  <si>
    <t>Reviewed</t>
  </si>
  <si>
    <t>Google Shopping &amp; Meta Feed</t>
  </si>
  <si>
    <t>- This quotation is valid for 30 days from the date of issue &amp; Prices as at Sept 26</t>
  </si>
  <si>
    <t>AC</t>
  </si>
  <si>
    <t>Total Managed Service Time</t>
  </si>
  <si>
    <t>Quote: Core Requirements</t>
  </si>
  <si>
    <t>Optional Costs: Perfromance Booster - Initial Issue Fix /Data Optimisation</t>
  </si>
  <si>
    <t>Total Set-Up and Optional Costs</t>
  </si>
  <si>
    <t>ONE OFF OPTIONAL COSTS: PERFORMANCE BOOSTER PACK</t>
  </si>
  <si>
    <t>Reference</t>
  </si>
  <si>
    <t>Quote Valid</t>
  </si>
  <si>
    <t>Created By</t>
  </si>
  <si>
    <t>Date Created</t>
  </si>
  <si>
    <t>Reiss</t>
  </si>
  <si>
    <t>https://www.reiss.com/</t>
  </si>
  <si>
    <t>QT2600065638</t>
  </si>
  <si>
    <t>RV</t>
  </si>
  <si>
    <t>Feed Management &amp; Data Optimisation Platform</t>
  </si>
  <si>
    <t>Additional Feeds</t>
  </si>
  <si>
    <t>Initial Account &amp; Feed Configuration (Set-up, Testing &amp; Deployment)</t>
  </si>
  <si>
    <t>Israel Market</t>
  </si>
  <si>
    <t>System Set-up (4 hrs) &amp; Feed Configuration &amp; rule sharing (2 hrs)</t>
  </si>
  <si>
    <t>Monthly Account, Technical and Performance Management</t>
  </si>
  <si>
    <t>Basic Account Monitoring and Channel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</si>
</sst>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£&quot;#,##0"/>
    <numFmt numFmtId="165" formatCode="&quot;£&quot;#,##0.00"/>
    <numFmt numFmtId="166" formatCode="&quot;£&quot;#,##0.0"/>
    <numFmt numFmtId="167" formatCode="0.0%"/>
    <numFmt numFmtId="168" formatCode="0.0\ &quot;Days&quot;"/>
    <numFmt numFmtId="169" formatCode="0.00\ &quot;Days&quot;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1E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0" xfId="0" applyFont="1" applyAlignment="1">
      <alignment horizontal="left" indent="1"/>
    </xf>
    <xf numFmtId="0" fontId="2" fillId="0" borderId="0" xfId="0" applyFont="1"/>
    <xf numFmtId="0" fontId="1" fillId="0" borderId="6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164" fontId="1" fillId="0" borderId="0" xfId="0" applyNumberFormat="1" applyFont="1"/>
    <xf numFmtId="164" fontId="4" fillId="4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right" indent="1"/>
    </xf>
    <xf numFmtId="164" fontId="2" fillId="0" borderId="0" xfId="0" applyNumberFormat="1" applyFont="1"/>
    <xf numFmtId="0" fontId="2" fillId="0" borderId="4" xfId="0" quotePrefix="1" applyFont="1" applyBorder="1" applyAlignment="1">
      <alignment horizontal="left" indent="1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5" borderId="2" xfId="0" applyNumberFormat="1" applyFont="1" applyFill="1" applyBorder="1" applyAlignment="1">
      <alignment horizontal="center"/>
    </xf>
    <xf numFmtId="9" fontId="6" fillId="0" borderId="2" xfId="1" applyFont="1" applyBorder="1" applyAlignment="1">
      <alignment horizontal="center" vertical="center"/>
    </xf>
    <xf numFmtId="9" fontId="3" fillId="6" borderId="0" xfId="0" applyNumberFormat="1" applyFont="1" applyFill="1" applyAlignment="1">
      <alignment horizontal="center"/>
    </xf>
    <xf numFmtId="0" fontId="3" fillId="5" borderId="2" xfId="0" applyFont="1" applyFill="1" applyBorder="1" applyAlignment="1">
      <alignment horizontal="center"/>
    </xf>
    <xf numFmtId="9" fontId="3" fillId="0" borderId="2" xfId="1" applyFont="1" applyFill="1" applyBorder="1" applyAlignment="1">
      <alignment horizontal="center"/>
    </xf>
    <xf numFmtId="0" fontId="1" fillId="0" borderId="3" xfId="0" quotePrefix="1" applyFont="1" applyBorder="1" applyAlignment="1">
      <alignment horizontal="left" indent="1"/>
    </xf>
    <xf numFmtId="9" fontId="2" fillId="6" borderId="0" xfId="0" applyNumberFormat="1" applyFont="1" applyFill="1" applyAlignment="1">
      <alignment horizontal="left"/>
    </xf>
    <xf numFmtId="0" fontId="3" fillId="0" borderId="3" xfId="0" quotePrefix="1" applyFont="1" applyBorder="1"/>
    <xf numFmtId="0" fontId="3" fillId="0" borderId="4" xfId="0" quotePrefix="1" applyFont="1" applyBorder="1"/>
    <xf numFmtId="0" fontId="2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166" fontId="1" fillId="0" borderId="2" xfId="0" applyNumberFormat="1" applyFont="1" applyBorder="1"/>
    <xf numFmtId="0" fontId="1" fillId="0" borderId="2" xfId="0" applyFont="1" applyBorder="1"/>
    <xf numFmtId="166" fontId="1" fillId="0" borderId="2" xfId="0" applyNumberFormat="1" applyFont="1" applyBorder="1" applyAlignment="1">
      <alignment horizontal="left" indent="1"/>
    </xf>
    <xf numFmtId="166" fontId="1" fillId="0" borderId="0" xfId="0" applyNumberFormat="1" applyFont="1" applyAlignment="1">
      <alignment horizontal="left" indent="1"/>
    </xf>
    <xf numFmtId="166" fontId="2" fillId="0" borderId="2" xfId="0" applyNumberFormat="1" applyFont="1" applyBorder="1" applyAlignment="1">
      <alignment horizontal="left" inden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9" fontId="3" fillId="0" borderId="0" xfId="1" applyFont="1" applyBorder="1" applyAlignment="1">
      <alignment horizontal="center"/>
    </xf>
    <xf numFmtId="167" fontId="2" fillId="0" borderId="0" xfId="1" quotePrefix="1" applyNumberFormat="1" applyFont="1" applyAlignment="1">
      <alignment horizontal="right"/>
    </xf>
    <xf numFmtId="164" fontId="2" fillId="7" borderId="2" xfId="0" applyNumberFormat="1" applyFont="1" applyFill="1" applyBorder="1" applyAlignment="1">
      <alignment horizontal="center"/>
    </xf>
    <xf numFmtId="9" fontId="3" fillId="5" borderId="2" xfId="1" applyFont="1" applyFill="1" applyBorder="1" applyAlignment="1">
      <alignment horizontal="center"/>
    </xf>
    <xf numFmtId="168" fontId="3" fillId="5" borderId="2" xfId="0" applyNumberFormat="1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7" fillId="3" borderId="2" xfId="2" applyFill="1" applyBorder="1" applyAlignment="1">
      <alignment horizontal="center"/>
    </xf>
    <xf numFmtId="164" fontId="2" fillId="0" borderId="0" xfId="0" applyNumberFormat="1" applyFont="1" applyAlignment="1">
      <alignment horizontal="left" indent="1"/>
    </xf>
    <xf numFmtId="0" fontId="1" fillId="3" borderId="2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9" fontId="1" fillId="0" borderId="0" xfId="0" applyNumberFormat="1" applyFont="1"/>
    <xf numFmtId="10" fontId="1" fillId="0" borderId="0" xfId="0" applyNumberFormat="1" applyFont="1"/>
    <xf numFmtId="169" fontId="3" fillId="5" borderId="2" xfId="0" applyNumberFormat="1" applyFont="1" applyFill="1" applyBorder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16" xfId="0" applyFont="1" applyBorder="1" applyAlignment="1">
      <alignment horizontal="left" indent="1"/>
    </xf>
    <xf numFmtId="0" fontId="1" fillId="0" borderId="15" xfId="0" quotePrefix="1" applyFont="1" applyBorder="1" applyAlignment="1">
      <alignment horizontal="left" indent="1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3" fillId="0" borderId="3" xfId="0" quotePrefix="1" applyFont="1" applyBorder="1" applyAlignment="1">
      <alignment horizontal="left"/>
    </xf>
    <xf numFmtId="0" fontId="3" fillId="0" borderId="4" xfId="0" quotePrefix="1" applyFont="1" applyBorder="1" applyAlignment="1">
      <alignment horizontal="left"/>
    </xf>
    <xf numFmtId="0" fontId="1" fillId="0" borderId="2" xfId="0" applyFont="1" applyBorder="1" applyAlignment="1">
      <alignment horizontal="left" inden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16" xfId="0" applyFont="1" applyBorder="1" applyAlignment="1">
      <alignment horizontal="left" inden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 indent="1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92364</xdr:colOff>
      <xdr:row>0</xdr:row>
      <xdr:rowOff>210282</xdr:rowOff>
    </xdr:from>
    <xdr:to>
      <xdr:col>1</xdr:col>
      <xdr:colOff>1651001</xdr:colOff>
      <xdr:row>2</xdr:row>
      <xdr:rowOff>27505</xdr:rowOff>
    </xdr:to>
    <xdr:pic>
      <xdr:nvPicPr>
        <xdr:cNvPr id="2" name="Picture 1" descr="A close up of a logo&#10;&#10;Description automatically generated">
          <a:extLst>
            <a:ext uri="{FF2B5EF4-FFF2-40B4-BE49-F238E27FC236}">
              <a16:creationId xmlns:a16="http://schemas.microsoft.com/office/drawing/2014/main" id="{A3032381-F100-417F-89F3-2B77CB59F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64" y="210282"/>
          <a:ext cx="3266787" cy="680823"/>
        </a:xfrm>
        <a:prstGeom prst="rect">
          <a:avLst/>
        </a:prstGeom>
      </xdr:spPr>
    </xdr:pic>
    <xdr:clientData/>
  </xdr:twoCellAnchor>
  <xdr:twoCellAnchor editAs="oneCell">
    <xdr:from>
      <xdr:col>12</xdr:col>
      <xdr:colOff>1639456</xdr:colOff>
      <xdr:row>0</xdr:row>
      <xdr:rowOff>0</xdr:rowOff>
    </xdr:from>
    <xdr:to>
      <xdr:col>13</xdr:col>
      <xdr:colOff>74697</xdr:colOff>
      <xdr:row>2</xdr:row>
      <xdr:rowOff>124742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06072F-2A6A-F99F-24DD-97914F03E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40183" y="0"/>
          <a:ext cx="4438878" cy="990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i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157A-3F70-41E4-B97A-2F3831C0CC2C}">
  <sheetPr>
    <tabColor rgb="FFFFC000"/>
    <pageSetUpPr fitToPage="1"/>
  </sheetPr>
  <dimension ref="A1:O59"/>
  <sheetViews>
    <sheetView showGridLines="0" tabSelected="1" zoomScale="55" zoomScaleNormal="55" workbookViewId="0">
      <selection activeCell="T29" sqref="T29"/>
    </sheetView>
  </sheetViews>
  <sheetFormatPr defaultColWidth="8.85546875" defaultRowHeight="15.75" x14ac:dyDescent="0.25"/>
  <cols>
    <col min="1" max="1" width="24.42578125" style="1" customWidth="1"/>
    <col min="2" max="2" width="64.42578125" style="1" customWidth="1"/>
    <col min="3" max="3" width="1.42578125" style="1" customWidth="1"/>
    <col min="4" max="6" width="17" style="1" customWidth="1"/>
    <col min="7" max="7" width="1.42578125" style="1" customWidth="1"/>
    <col min="8" max="9" width="17" style="1" customWidth="1"/>
    <col min="10" max="10" width="1.5703125" style="1" customWidth="1"/>
    <col min="11" max="11" width="17" style="1" customWidth="1"/>
    <col min="12" max="12" width="3.42578125" style="1" customWidth="1"/>
    <col min="13" max="13" width="86" style="1" customWidth="1"/>
    <col min="14" max="16384" width="8.85546875" style="1"/>
  </cols>
  <sheetData>
    <row r="1" spans="1:14" ht="32.450000000000003" customHeight="1" x14ac:dyDescent="0.25">
      <c r="A1" s="1" t="s">
        <v>17</v>
      </c>
      <c r="C1" s="2"/>
      <c r="H1" s="2"/>
    </row>
    <row r="2" spans="1:14" ht="36" customHeight="1" x14ac:dyDescent="0.25">
      <c r="C2" s="2"/>
      <c r="M2"/>
    </row>
    <row r="3" spans="1:14" ht="14.4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4" ht="14.45" customHeight="1" x14ac:dyDescent="0.25"/>
    <row r="5" spans="1:14" x14ac:dyDescent="0.25">
      <c r="A5" s="4" t="s">
        <v>0</v>
      </c>
      <c r="B5" s="42" t="s">
        <v>43</v>
      </c>
      <c r="D5" s="78" t="s">
        <v>35</v>
      </c>
      <c r="E5" s="78"/>
      <c r="F5" s="78"/>
      <c r="G5" s="78"/>
      <c r="H5" s="78"/>
      <c r="I5" s="78"/>
      <c r="J5" s="5"/>
      <c r="K5" s="27" t="s">
        <v>41</v>
      </c>
      <c r="M5" s="45" t="s">
        <v>46</v>
      </c>
    </row>
    <row r="6" spans="1:14" x14ac:dyDescent="0.25">
      <c r="A6" s="4" t="s">
        <v>12</v>
      </c>
      <c r="B6" s="43" t="s">
        <v>44</v>
      </c>
      <c r="D6" s="78"/>
      <c r="E6" s="78"/>
      <c r="F6" s="78"/>
      <c r="G6" s="78"/>
      <c r="H6" s="78"/>
      <c r="I6" s="78"/>
      <c r="J6" s="5"/>
      <c r="K6" s="27" t="s">
        <v>42</v>
      </c>
      <c r="M6" s="46">
        <v>46280</v>
      </c>
    </row>
    <row r="7" spans="1:14" x14ac:dyDescent="0.25">
      <c r="A7" s="4" t="s">
        <v>13</v>
      </c>
      <c r="B7" s="42" t="s">
        <v>9</v>
      </c>
      <c r="D7" s="78"/>
      <c r="E7" s="78"/>
      <c r="F7" s="78"/>
      <c r="G7" s="78"/>
      <c r="H7" s="78"/>
      <c r="I7" s="78"/>
      <c r="J7" s="5"/>
      <c r="K7" s="27" t="s">
        <v>40</v>
      </c>
      <c r="M7" s="46">
        <f>DATE(YEAR(M6),MONTH(M6)+1,DAY(M6))</f>
        <v>46310</v>
      </c>
    </row>
    <row r="8" spans="1:14" x14ac:dyDescent="0.25">
      <c r="A8" s="4" t="s">
        <v>1</v>
      </c>
      <c r="B8" s="42" t="s">
        <v>9</v>
      </c>
      <c r="D8" s="78"/>
      <c r="E8" s="78"/>
      <c r="F8" s="78"/>
      <c r="G8" s="78"/>
      <c r="H8" s="78"/>
      <c r="I8" s="78"/>
      <c r="J8" s="5"/>
      <c r="K8" s="27" t="s">
        <v>39</v>
      </c>
      <c r="M8" s="45" t="s">
        <v>45</v>
      </c>
    </row>
    <row r="9" spans="1:14" x14ac:dyDescent="0.25">
      <c r="A9" s="4" t="s">
        <v>7</v>
      </c>
      <c r="B9" s="42" t="s">
        <v>9</v>
      </c>
      <c r="D9" s="78"/>
      <c r="E9" s="78"/>
      <c r="F9" s="78"/>
      <c r="G9" s="78"/>
      <c r="H9" s="78"/>
      <c r="I9" s="78"/>
      <c r="K9" s="27" t="s">
        <v>30</v>
      </c>
      <c r="M9" s="45" t="s">
        <v>33</v>
      </c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4" ht="27" customHeight="1" x14ac:dyDescent="0.25">
      <c r="A12" s="76" t="s">
        <v>20</v>
      </c>
      <c r="B12" s="76"/>
      <c r="D12" s="76" t="s">
        <v>21</v>
      </c>
      <c r="E12" s="76"/>
      <c r="F12" s="76"/>
      <c r="H12" s="77" t="s">
        <v>3</v>
      </c>
      <c r="I12" s="77" t="s">
        <v>4</v>
      </c>
      <c r="K12" s="66" t="s">
        <v>5</v>
      </c>
      <c r="M12" s="66" t="s">
        <v>26</v>
      </c>
    </row>
    <row r="13" spans="1:14" ht="27" customHeight="1" x14ac:dyDescent="0.25">
      <c r="A13" s="76"/>
      <c r="B13" s="76"/>
      <c r="D13" s="36" t="s">
        <v>11</v>
      </c>
      <c r="E13" s="36" t="s">
        <v>10</v>
      </c>
      <c r="F13" s="36" t="s">
        <v>2</v>
      </c>
      <c r="H13" s="77"/>
      <c r="I13" s="77"/>
      <c r="K13" s="67"/>
      <c r="M13" s="67"/>
    </row>
    <row r="14" spans="1:14" ht="6.6" customHeight="1" x14ac:dyDescent="0.25"/>
    <row r="15" spans="1:14" x14ac:dyDescent="0.25">
      <c r="A15" s="25" t="s">
        <v>23</v>
      </c>
      <c r="B15" s="26"/>
    </row>
    <row r="16" spans="1:14" x14ac:dyDescent="0.25">
      <c r="A16" s="23" t="s">
        <v>47</v>
      </c>
      <c r="B16" s="15"/>
      <c r="D16" s="21">
        <v>1</v>
      </c>
      <c r="E16" s="18">
        <v>525</v>
      </c>
      <c r="F16" s="7">
        <f>IFERROR(D16*E16,"-")</f>
        <v>525</v>
      </c>
      <c r="H16" s="40">
        <v>0.5</v>
      </c>
      <c r="I16" s="9">
        <f>F16*H16</f>
        <v>262.5</v>
      </c>
      <c r="J16" s="10"/>
      <c r="K16" s="12">
        <f>SUM(F16-I16)</f>
        <v>262.5</v>
      </c>
      <c r="M16" s="32" t="s">
        <v>50</v>
      </c>
      <c r="N16" s="28"/>
    </row>
    <row r="17" spans="1:15" x14ac:dyDescent="0.25">
      <c r="A17" s="23" t="s">
        <v>48</v>
      </c>
      <c r="B17" s="15"/>
      <c r="D17" s="21">
        <v>1</v>
      </c>
      <c r="E17" s="18">
        <v>150</v>
      </c>
      <c r="F17" s="7">
        <f>IFERROR(D17*E17,"-")</f>
        <v>150</v>
      </c>
      <c r="H17" s="40">
        <v>0.5</v>
      </c>
      <c r="I17" s="9">
        <f>F17*H17</f>
        <v>75</v>
      </c>
      <c r="J17" s="10"/>
      <c r="K17" s="12">
        <f>SUM(F17-I17)</f>
        <v>75</v>
      </c>
      <c r="M17" s="32" t="s">
        <v>31</v>
      </c>
      <c r="N17" s="28"/>
    </row>
    <row r="18" spans="1:15" ht="6" customHeight="1" x14ac:dyDescent="0.25">
      <c r="F18" s="10"/>
      <c r="H18" s="5"/>
      <c r="I18" s="10"/>
      <c r="J18" s="10"/>
      <c r="K18" s="10"/>
      <c r="M18" s="33"/>
      <c r="N18" s="28"/>
    </row>
    <row r="19" spans="1:15" s="5" customFormat="1" x14ac:dyDescent="0.25">
      <c r="A19" s="24" t="s">
        <v>24</v>
      </c>
      <c r="B19" s="4"/>
      <c r="C19" s="13"/>
      <c r="D19" s="4"/>
      <c r="F19" s="14"/>
      <c r="G19" s="13"/>
      <c r="H19" s="38" t="s">
        <v>28</v>
      </c>
      <c r="I19" s="9">
        <f>+SUM(I16:I17)</f>
        <v>337.5</v>
      </c>
      <c r="J19" s="14"/>
      <c r="K19" s="39">
        <f>SUM(K16:K17)</f>
        <v>337.5</v>
      </c>
      <c r="L19" s="14"/>
      <c r="M19" s="34" t="s">
        <v>27</v>
      </c>
      <c r="N19" s="28"/>
      <c r="O19" s="1"/>
    </row>
    <row r="20" spans="1:15" s="5" customFormat="1" x14ac:dyDescent="0.25">
      <c r="A20" s="4"/>
      <c r="B20" s="4"/>
      <c r="C20" s="13"/>
      <c r="D20" s="4"/>
      <c r="E20" s="4"/>
      <c r="F20" s="16"/>
      <c r="G20" s="13"/>
      <c r="H20" s="20"/>
      <c r="I20" s="37"/>
      <c r="J20" s="14"/>
      <c r="K20" s="17"/>
      <c r="L20" s="14"/>
      <c r="M20" s="33"/>
      <c r="N20" s="28"/>
      <c r="O20" s="1"/>
    </row>
    <row r="21" spans="1:15" x14ac:dyDescent="0.25">
      <c r="A21" s="57" t="s">
        <v>22</v>
      </c>
      <c r="B21" s="58"/>
      <c r="D21" s="4"/>
      <c r="E21" s="4"/>
      <c r="F21" s="4"/>
      <c r="G21" s="4"/>
      <c r="H21" s="4"/>
      <c r="I21" s="4"/>
      <c r="J21" s="4"/>
      <c r="K21" s="44"/>
      <c r="L21" s="4"/>
      <c r="M21" s="4"/>
      <c r="N21" s="28"/>
    </row>
    <row r="22" spans="1:15" x14ac:dyDescent="0.25">
      <c r="A22" s="23" t="s">
        <v>52</v>
      </c>
      <c r="B22" s="15"/>
      <c r="D22" s="21">
        <v>0.25</v>
      </c>
      <c r="E22" s="18">
        <v>595</v>
      </c>
      <c r="F22" s="7">
        <f>IFERROR(D22*E22,"-")</f>
        <v>148.75</v>
      </c>
      <c r="H22" s="40">
        <v>0</v>
      </c>
      <c r="I22" s="9">
        <f>IFERROR(F22*H22,0)</f>
        <v>0</v>
      </c>
      <c r="J22" s="10"/>
      <c r="K22" s="12">
        <f>IFERROR(SUM(F22-I22),0)</f>
        <v>148.75</v>
      </c>
      <c r="M22" s="32" t="s">
        <v>53</v>
      </c>
      <c r="N22" s="28"/>
    </row>
    <row r="23" spans="1:15" ht="6" customHeight="1" x14ac:dyDescent="0.25">
      <c r="F23" s="10"/>
      <c r="H23" s="5"/>
      <c r="I23" s="10"/>
      <c r="J23" s="10"/>
      <c r="K23" s="10"/>
      <c r="M23" s="33"/>
      <c r="N23" s="28"/>
    </row>
    <row r="24" spans="1:15" s="5" customFormat="1" x14ac:dyDescent="0.25">
      <c r="A24" s="24" t="s">
        <v>34</v>
      </c>
      <c r="B24" s="4"/>
      <c r="C24" s="13"/>
      <c r="D24" s="49">
        <f>SUM(D22:D22)</f>
        <v>0.25</v>
      </c>
      <c r="E24" s="7">
        <f>Dayrate</f>
        <v>595</v>
      </c>
      <c r="F24" s="7">
        <f>IFERROR(D24*E24,"-")</f>
        <v>148.75</v>
      </c>
      <c r="G24" s="13"/>
      <c r="H24" s="22">
        <f>H22</f>
        <v>0</v>
      </c>
      <c r="I24" s="9">
        <f>+SUM(I22:I22)</f>
        <v>0</v>
      </c>
      <c r="J24" s="14"/>
      <c r="K24" s="39">
        <f>SUM(F24-I24)</f>
        <v>148.75</v>
      </c>
      <c r="L24" s="14"/>
      <c r="M24" s="34" t="s">
        <v>27</v>
      </c>
      <c r="N24" s="28"/>
    </row>
    <row r="25" spans="1:15" s="5" customFormat="1" x14ac:dyDescent="0.25">
      <c r="A25" s="4"/>
      <c r="B25" s="4"/>
      <c r="C25" s="13"/>
      <c r="D25" s="4"/>
      <c r="E25" s="4"/>
      <c r="F25" s="4"/>
      <c r="G25" s="4"/>
      <c r="H25" s="4"/>
      <c r="I25" s="4"/>
      <c r="J25" s="17"/>
      <c r="K25" s="17"/>
      <c r="L25" s="14"/>
      <c r="N25" s="28"/>
    </row>
    <row r="26" spans="1:15" s="5" customFormat="1" x14ac:dyDescent="0.25">
      <c r="A26" s="27" t="s">
        <v>25</v>
      </c>
      <c r="B26" s="4"/>
      <c r="C26" s="13"/>
      <c r="D26" s="4"/>
      <c r="E26" s="4"/>
      <c r="F26" s="4"/>
      <c r="G26" s="13"/>
      <c r="H26" s="20"/>
      <c r="I26" s="20"/>
      <c r="J26" s="14"/>
      <c r="K26" s="11">
        <f>K24+K19</f>
        <v>486.25</v>
      </c>
      <c r="L26" s="14"/>
      <c r="M26" s="34" t="s">
        <v>25</v>
      </c>
      <c r="N26" s="28"/>
    </row>
    <row r="27" spans="1:15" ht="17.100000000000001" customHeight="1" x14ac:dyDescent="0.25">
      <c r="A27" s="28"/>
      <c r="B27" s="28"/>
      <c r="C27" s="14"/>
      <c r="D27" s="28"/>
      <c r="E27" s="28"/>
      <c r="F27" s="28"/>
      <c r="G27" s="28"/>
      <c r="H27" s="28"/>
      <c r="I27" s="28"/>
    </row>
    <row r="28" spans="1:15" s="5" customFormat="1" ht="24.6" customHeight="1" x14ac:dyDescent="0.25">
      <c r="A28" s="72" t="s">
        <v>38</v>
      </c>
      <c r="B28" s="73"/>
      <c r="C28" s="1"/>
      <c r="D28" s="76" t="s">
        <v>21</v>
      </c>
      <c r="E28" s="76"/>
      <c r="F28" s="76"/>
      <c r="G28" s="1"/>
      <c r="H28" s="77" t="s">
        <v>3</v>
      </c>
      <c r="I28" s="77" t="s">
        <v>4</v>
      </c>
      <c r="J28" s="1"/>
      <c r="K28" s="66" t="s">
        <v>5</v>
      </c>
      <c r="L28" s="14"/>
      <c r="M28" s="66" t="s">
        <v>26</v>
      </c>
      <c r="N28" s="28"/>
    </row>
    <row r="29" spans="1:15" s="5" customFormat="1" ht="24.6" customHeight="1" x14ac:dyDescent="0.25">
      <c r="A29" s="74"/>
      <c r="B29" s="75"/>
      <c r="C29" s="1"/>
      <c r="D29" s="36" t="s">
        <v>11</v>
      </c>
      <c r="E29" s="36" t="s">
        <v>10</v>
      </c>
      <c r="F29" s="35" t="s">
        <v>2</v>
      </c>
      <c r="G29" s="1"/>
      <c r="H29" s="77"/>
      <c r="I29" s="77"/>
      <c r="J29" s="1"/>
      <c r="K29" s="67"/>
      <c r="L29" s="14"/>
      <c r="M29" s="67"/>
      <c r="N29" s="28"/>
    </row>
    <row r="30" spans="1:15" s="5" customFormat="1" ht="24.6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28"/>
    </row>
    <row r="31" spans="1:15" ht="17.45" customHeight="1" x14ac:dyDescent="0.25">
      <c r="A31" s="68" t="s">
        <v>36</v>
      </c>
      <c r="B31" s="69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5" ht="6.6" customHeight="1" x14ac:dyDescent="0.25">
      <c r="C32" s="14"/>
    </row>
    <row r="33" spans="1:15" ht="17.100000000000001" customHeight="1" x14ac:dyDescent="0.25">
      <c r="A33" s="70" t="s">
        <v>29</v>
      </c>
      <c r="B33" s="71"/>
      <c r="C33" s="5"/>
      <c r="D33" s="41">
        <v>0</v>
      </c>
      <c r="E33" s="18">
        <f>Dayrate</f>
        <v>595</v>
      </c>
      <c r="F33" s="7">
        <f>IFERROR(D33*E33,"-")</f>
        <v>0</v>
      </c>
      <c r="G33" s="5"/>
      <c r="H33" s="22" t="s">
        <v>9</v>
      </c>
      <c r="I33" s="22" t="s">
        <v>9</v>
      </c>
      <c r="J33" s="10"/>
      <c r="K33" s="39">
        <f>F33</f>
        <v>0</v>
      </c>
      <c r="L33" s="13"/>
      <c r="M33" s="32" t="str">
        <f>CONCATENATE(D33," Days of time to fix audit issues (Core logic deployed form UK market at set-up")</f>
        <v>0 Days of time to fix audit issues (Core logic deployed form UK market at set-up</v>
      </c>
      <c r="N33" s="28"/>
    </row>
    <row r="34" spans="1:15" ht="6.6" customHeight="1" x14ac:dyDescent="0.25"/>
    <row r="35" spans="1:15" x14ac:dyDescent="0.25">
      <c r="J35" s="10"/>
      <c r="K35" s="11">
        <f>K33</f>
        <v>0</v>
      </c>
      <c r="M35" s="34" t="s">
        <v>37</v>
      </c>
    </row>
    <row r="36" spans="1:15" s="5" customFormat="1" x14ac:dyDescent="0.25">
      <c r="A36" s="4"/>
      <c r="B36" s="4"/>
      <c r="C36" s="13"/>
      <c r="D36" s="4"/>
      <c r="E36" s="4"/>
      <c r="F36" s="16"/>
      <c r="G36" s="13"/>
      <c r="H36" s="20"/>
      <c r="I36" s="17"/>
      <c r="J36" s="17"/>
      <c r="K36" s="17"/>
      <c r="L36" s="14"/>
      <c r="M36" s="29"/>
      <c r="N36" s="28"/>
    </row>
    <row r="37" spans="1:15" s="5" customFormat="1" ht="24.6" customHeight="1" x14ac:dyDescent="0.25">
      <c r="A37" s="72" t="s">
        <v>19</v>
      </c>
      <c r="B37" s="73"/>
      <c r="C37" s="1"/>
      <c r="D37" s="76" t="s">
        <v>21</v>
      </c>
      <c r="E37" s="76"/>
      <c r="F37" s="76"/>
      <c r="G37" s="1"/>
      <c r="H37" s="77" t="s">
        <v>3</v>
      </c>
      <c r="I37" s="77" t="s">
        <v>4</v>
      </c>
      <c r="J37" s="1"/>
      <c r="K37" s="66" t="s">
        <v>5</v>
      </c>
      <c r="L37" s="14"/>
      <c r="M37" s="66" t="s">
        <v>26</v>
      </c>
      <c r="N37" s="28"/>
    </row>
    <row r="38" spans="1:15" s="5" customFormat="1" ht="24.6" customHeight="1" x14ac:dyDescent="0.25">
      <c r="A38" s="74"/>
      <c r="B38" s="75"/>
      <c r="C38" s="1"/>
      <c r="D38" s="36" t="s">
        <v>11</v>
      </c>
      <c r="E38" s="36" t="s">
        <v>10</v>
      </c>
      <c r="F38" s="35" t="s">
        <v>2</v>
      </c>
      <c r="G38" s="1"/>
      <c r="H38" s="77"/>
      <c r="I38" s="77"/>
      <c r="J38" s="1"/>
      <c r="K38" s="67"/>
      <c r="L38" s="14"/>
      <c r="M38" s="67"/>
      <c r="N38" s="28"/>
    </row>
    <row r="39" spans="1:15" s="5" customFormat="1" ht="24.6" customHeight="1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28"/>
    </row>
    <row r="40" spans="1:15" ht="17.100000000000001" customHeight="1" x14ac:dyDescent="0.25">
      <c r="A40" s="57" t="s">
        <v>18</v>
      </c>
      <c r="B40" s="58"/>
      <c r="D40" s="8"/>
      <c r="E40" s="8"/>
      <c r="F40" s="8"/>
      <c r="H40" s="19"/>
      <c r="I40" s="9"/>
      <c r="J40" s="10"/>
      <c r="K40" s="12"/>
      <c r="M40" s="30"/>
      <c r="N40" s="28"/>
    </row>
    <row r="41" spans="1:15" ht="17.100000000000001" customHeight="1" x14ac:dyDescent="0.25">
      <c r="A41" s="59" t="s">
        <v>49</v>
      </c>
      <c r="B41" s="59"/>
      <c r="C41" s="5"/>
      <c r="D41" s="21">
        <v>0.75</v>
      </c>
      <c r="E41" s="18">
        <v>595</v>
      </c>
      <c r="F41" s="7">
        <f>D41*E41</f>
        <v>446.25</v>
      </c>
      <c r="G41" s="5"/>
      <c r="H41" s="40">
        <v>0</v>
      </c>
      <c r="I41" s="9">
        <f>F41*H41</f>
        <v>0</v>
      </c>
      <c r="J41" s="10"/>
      <c r="K41" s="39">
        <f>F41-I41</f>
        <v>446.25</v>
      </c>
      <c r="L41" s="13"/>
      <c r="M41" s="30" t="s">
        <v>51</v>
      </c>
      <c r="N41" s="28"/>
    </row>
    <row r="42" spans="1:15" ht="6.6" customHeight="1" x14ac:dyDescent="0.25"/>
    <row r="43" spans="1:15" x14ac:dyDescent="0.25">
      <c r="K43" s="11">
        <f>K41</f>
        <v>446.25</v>
      </c>
      <c r="M43" s="31"/>
      <c r="O43" s="10"/>
    </row>
    <row r="44" spans="1:15" ht="16.5" thickBot="1" x14ac:dyDescent="0.3"/>
    <row r="45" spans="1:15" x14ac:dyDescent="0.25">
      <c r="A45" s="60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2"/>
    </row>
    <row r="46" spans="1:15" x14ac:dyDescent="0.25">
      <c r="A46" s="63" t="s">
        <v>6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5"/>
    </row>
    <row r="47" spans="1:15" x14ac:dyDescent="0.25">
      <c r="A47" s="50" t="s">
        <v>15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2"/>
    </row>
    <row r="48" spans="1:15" x14ac:dyDescent="0.25">
      <c r="A48" s="50" t="s">
        <v>16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2"/>
    </row>
    <row r="49" spans="1:13" x14ac:dyDescent="0.25">
      <c r="A49" s="50" t="s">
        <v>8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2"/>
    </row>
    <row r="50" spans="1:13" x14ac:dyDescent="0.25">
      <c r="A50" s="53" t="s">
        <v>32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2"/>
    </row>
    <row r="51" spans="1:13" x14ac:dyDescent="0.25">
      <c r="A51" s="50" t="s">
        <v>14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2"/>
    </row>
    <row r="52" spans="1:13" ht="7.35" customHeight="1" thickBot="1" x14ac:dyDescent="0.3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6"/>
    </row>
    <row r="56" spans="1:13" x14ac:dyDescent="0.25">
      <c r="B56"/>
    </row>
    <row r="57" spans="1:13" x14ac:dyDescent="0.25">
      <c r="F57" s="47">
        <v>0.5</v>
      </c>
      <c r="H57" s="1">
        <v>100</v>
      </c>
      <c r="I57" s="1">
        <f>H57*F57</f>
        <v>50</v>
      </c>
    </row>
    <row r="58" spans="1:13" x14ac:dyDescent="0.25">
      <c r="F58" s="48">
        <v>0.22500000000000001</v>
      </c>
      <c r="I58" s="1">
        <f>I57*F58</f>
        <v>11.25</v>
      </c>
    </row>
    <row r="59" spans="1:13" x14ac:dyDescent="0.25">
      <c r="I59" s="1">
        <f>I57-I58</f>
        <v>38.75</v>
      </c>
    </row>
  </sheetData>
  <dataConsolidate/>
  <mergeCells count="32">
    <mergeCell ref="M12:M13"/>
    <mergeCell ref="D5:I9"/>
    <mergeCell ref="A12:B13"/>
    <mergeCell ref="D12:F12"/>
    <mergeCell ref="H12:H13"/>
    <mergeCell ref="I12:I13"/>
    <mergeCell ref="K12:K13"/>
    <mergeCell ref="A21:B21"/>
    <mergeCell ref="A28:B29"/>
    <mergeCell ref="D28:F28"/>
    <mergeCell ref="H28:H29"/>
    <mergeCell ref="I28:I29"/>
    <mergeCell ref="M28:M29"/>
    <mergeCell ref="A31:B31"/>
    <mergeCell ref="A33:B33"/>
    <mergeCell ref="A37:B38"/>
    <mergeCell ref="D37:F37"/>
    <mergeCell ref="H37:H38"/>
    <mergeCell ref="I37:I38"/>
    <mergeCell ref="K37:K38"/>
    <mergeCell ref="M37:M38"/>
    <mergeCell ref="K28:K29"/>
    <mergeCell ref="A49:M49"/>
    <mergeCell ref="A50:M50"/>
    <mergeCell ref="A51:M51"/>
    <mergeCell ref="A52:M52"/>
    <mergeCell ref="A40:B40"/>
    <mergeCell ref="A41:B41"/>
    <mergeCell ref="A45:M45"/>
    <mergeCell ref="A46:M46"/>
    <mergeCell ref="A47:M47"/>
    <mergeCell ref="A48:M48"/>
  </mergeCells>
  <hyperlinks>
    <hyperlink ref="B6" r:id="rId1" xr:uid="{B888EDA6-B329-4C13-B78F-101A7D5EDA51}"/>
  </hyperlinks>
  <pageMargins left="0.7" right="0.7" top="0.75" bottom="0.75" header="0.3" footer="0.3"/>
  <pageSetup paperSize="9" scale="50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B93EEF5BCC442ADD86B720DDDF5A9" ma:contentTypeVersion="14" ma:contentTypeDescription="Create a new document." ma:contentTypeScope="" ma:versionID="0f353a2d11687ca1e9c90c6a01c56c3c">
  <xsd:schema xmlns:xsd="http://www.w3.org/2001/XMLSchema" xmlns:xs="http://www.w3.org/2001/XMLSchema" xmlns:p="http://schemas.microsoft.com/office/2006/metadata/properties" xmlns:ns3="f6a2ffa7-3607-4c7f-b834-81464b204498" xmlns:ns4="03bb1124-0725-4157-bb8c-3e7cec6c0f3a" targetNamespace="http://schemas.microsoft.com/office/2006/metadata/properties" ma:root="true" ma:fieldsID="2d92b3056529c7336e3d39d71ae12cd3" ns3:_="" ns4:_="">
    <xsd:import namespace="f6a2ffa7-3607-4c7f-b834-81464b204498"/>
    <xsd:import namespace="03bb1124-0725-4157-bb8c-3e7cec6c0f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2ffa7-3607-4c7f-b834-81464b2044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bb1124-0725-4157-bb8c-3e7cec6c0f3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566905-6866-4C30-A9F1-A414E1A967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5682AD-D685-42B4-9349-4E7F1C7B49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a2ffa7-3607-4c7f-b834-81464b204498"/>
    <ds:schemaRef ds:uri="03bb1124-0725-4157-bb8c-3e7cec6c0f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FD9402-0755-4017-90A0-27B990BD0922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6a2ffa7-3607-4c7f-b834-81464b204498"/>
    <ds:schemaRef ds:uri="03bb1124-0725-4157-bb8c-3e7cec6c0f3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Reiss - Cost Detail</vt:lpstr>
      <vt:lpstr>'Reiss - Cost Detail'!Dayrate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</dc:creator>
  <cp:lastModifiedBy>Ray Vu</cp:lastModifiedBy>
  <cp:lastPrinted>2024-05-03T16:50:45Z</cp:lastPrinted>
  <dcterms:created xsi:type="dcterms:W3CDTF">2018-03-15T16:33:21Z</dcterms:created>
  <dcterms:modified xsi:type="dcterms:W3CDTF">2026-09-16T08:35:23Z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0x010100D25B93EEF5BCC442ADD86B720DDDF5A9</vt:lpwstr>
  </property>
</Properties>
</file>